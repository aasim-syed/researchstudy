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quirements" sheetId="2" state="visible" r:id="rId4"/>
    <sheet name="Success criteria" sheetId="3" state="visible" r:id="rId5"/>
  </sheets>
  <definedNames>
    <definedName function="false" hidden="true" localSheetId="1" name="_xlnm._FilterDatabase" vbProcedure="false">Requirements!$A$4:$G$33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<sst xmlns="http://schemas.openxmlformats.org/spreadsheetml/2006/main" count="196" uniqueCount="138">
  <si>
    <t xml:space="preserve">Assignment coverage summary</t>
  </si>
  <si>
    <t xml:space="preserve">Met</t>
  </si>
  <si>
    <t xml:space="preserve">Partial</t>
  </si>
  <si>
    <t xml:space="preserve">Not met</t>
  </si>
  <si>
    <t xml:space="preserve">Total</t>
  </si>
  <si>
    <t xml:space="preserve">Brief lines (Requirements tab)</t>
  </si>
  <si>
    <t xml:space="preserve">Success criteria</t>
  </si>
  <si>
    <t xml:space="preserve">Open items to close</t>
  </si>
  <si>
    <t xml:space="preserve">Boundary paragraph in write-up failure cases (~30 min)</t>
  </si>
  <si>
    <t xml:space="preserve">One ~2M-face run to cover the full input range (~15 min)</t>
  </si>
  <si>
    <t xml:space="preserve">CUDA timing on the GTX 1650 (optional)</t>
  </si>
  <si>
    <t xml:space="preserve">Feature coverage 73.1% vs 90%: documented with measured limits (docs/crease_bounds.md)</t>
  </si>
  <si>
    <t xml:space="preserve">Quad remeshing assignment: line-by-line coverage</t>
  </si>
  <si>
    <t xml:space="preserve">Checked against the repo (main) and benchmark/results/summary.json on 16 Oct 2026. Status: Met / Partial / Not met.</t>
  </si>
  <si>
    <t xml:space="preserve">#</t>
  </si>
  <si>
    <t xml:space="preserve">Section</t>
  </si>
  <si>
    <t xml:space="preserve">Requirement (from the brief)</t>
  </si>
  <si>
    <t xml:space="preserve">Status</t>
  </si>
  <si>
    <t xml:space="preserve">Evidence</t>
  </si>
  <si>
    <t xml:space="preserve">Where in the repo</t>
  </si>
  <si>
    <t xml:space="preserve">Gap / next step</t>
  </si>
  <si>
    <t xml:space="preserve">Objective</t>
  </si>
  <si>
    <t xml:space="preserve">Preserve geometry: faithful to the input surface</t>
  </si>
  <si>
    <t xml:space="preserve">Mean distance 0.086% of bbox diagonal (Instant Meshes 0.316%)</t>
  </si>
  <si>
    <t xml:space="preserve">src/postprocess.cpp relax_and_project</t>
  </si>
  <si>
    <t xml:space="preserve">Preserve sharp features</t>
  </si>
  <si>
    <t xml:space="preserve">Feature coverage 73.1% mean; &gt;= 90% on 5 models (fandisk, spot, sheen chair, velvet sofa, leather sofa)</t>
  </si>
  <si>
    <t xml:space="preserve">src/features.cpp, src/crease_cut.cpp</t>
  </si>
  <si>
    <t xml:space="preserve">See Success criteria: coverage below 90%</t>
  </si>
  <si>
    <t xml:space="preserve">Edge flow follows principal curvature and feature lines</t>
  </si>
  <si>
    <t xml:space="preserve">Cross field locked to creases; principal-curvature alignment</t>
  </si>
  <si>
    <t xml:space="preserve">src/field.cpp principal_directions, --curvature-weight</t>
  </si>
  <si>
    <t xml:space="preserve">Minimal, well-placed irregular vertices (valence != 4)</t>
  </si>
  <si>
    <t xml:space="preserve">Fewer singularities than Instant Meshes on 14/15 models (count and per 1k faces)</t>
  </si>
  <si>
    <t xml:space="preserve">QuadriFlow min-cost flow (src/qflow_driver.cpp)</t>
  </si>
  <si>
    <t xml:space="preserve">Lounge room loses (968 vs 867)</t>
  </si>
  <si>
    <t xml:space="preserve">Near-square, planar quads</t>
  </si>
  <si>
    <t xml:space="preserve">Mean scaled Jacobian 0.903 (lowest model 0.82); planarity 0.002-0.032</t>
  </si>
  <si>
    <t xml:space="preserve">src/metrics.cpp</t>
  </si>
  <si>
    <t xml:space="preserve">Controllable size and density</t>
  </si>
  <si>
    <t xml:space="preserve">-f / -e for size; --density, --density-region, --curvature-density</t>
  </si>
  <si>
    <t xml:space="preserve">apps/quadremesh_cli.cpp</t>
  </si>
  <si>
    <t xml:space="preserve">Input</t>
  </si>
  <si>
    <t xml:space="preserve">.obj / .ply / .glb</t>
  </si>
  <si>
    <t xml:space="preserve">Also .gltf and .off</t>
  </si>
  <si>
    <t xml:space="preserve">src/io.cpp load_mesh</t>
  </si>
  <si>
    <t xml:space="preserve">10K-2M faces</t>
  </si>
  <si>
    <t xml:space="preserve">Tested 12.9K to 1.03M faces (fountain scan)</t>
  </si>
  <si>
    <t xml:space="preserve">benchmark/results/summary.json</t>
  </si>
  <si>
    <t xml:space="preserve">Run one ~2M-face input and record runtime</t>
  </si>
  <si>
    <t xml:space="preserve">Noise, small holes, non-manifold edges, multiple components</t>
  </si>
  <si>
    <t xml:space="preserve">Preprocess repairs all of these; noisy/non-manifold test passes; fandisk_noisy and scans in benchmark</t>
  </si>
  <si>
    <t xml:space="preserve">src/preprocess.cpp, tests</t>
  </si>
  <si>
    <t xml:space="preserve">Control: target quad count or edge length</t>
  </si>
  <si>
    <t xml:space="preserve">-f N / -e X</t>
  </si>
  <si>
    <t xml:space="preserve">Control: sharp-feature angle threshold</t>
  </si>
  <si>
    <t xml:space="preserve">-a DEG (default 35)</t>
  </si>
  <si>
    <t xml:space="preserve">Control: guidance strokes or curves</t>
  </si>
  <si>
    <t xml:space="preserve">--strokes FILE, --strokes-as-edges; demo image</t>
  </si>
  <si>
    <t xml:space="preserve">docs/report/demo_strokes.png</t>
  </si>
  <si>
    <t xml:space="preserve">Control: adaptive density map</t>
  </si>
  <si>
    <t xml:space="preserve">--density FILE, --density-region; demo image</t>
  </si>
  <si>
    <t xml:space="preserve">docs/report/demo_density.png</t>
  </si>
  <si>
    <t xml:space="preserve">Control: symmetry hint</t>
  </si>
  <si>
    <t xml:space="preserve">--symmetry x|y|z, exactly mirrored output; demo image</t>
  </si>
  <si>
    <t xml:space="preserve">docs/report/demo_symmetry.png</t>
  </si>
  <si>
    <t xml:space="preserve">Output</t>
  </si>
  <si>
    <t xml:space="preserve">Quad mesh (.obj)</t>
  </si>
  <si>
    <t xml:space="preserve">100% quads by default; --pure-quad guarantees it</t>
  </si>
  <si>
    <t xml:space="preserve">src/io.cpp save_quad_obj</t>
  </si>
  <si>
    <t xml:space="preserve">Optional UVs / attributes transferred from source</t>
  </si>
  <si>
    <t xml:space="preserve">UV transfer respecting chart seams; generic per-vertex attributes</t>
  </si>
  <si>
    <t xml:space="preserve">src/transfer.cpp</t>
  </si>
  <si>
    <t xml:space="preserve">Quality report (JSON) with the metrics</t>
  </si>
  <si>
    <t xml:space="preserve">--report FILE.json</t>
  </si>
  <si>
    <t xml:space="preserve">src/metrics.cpp evaluate</t>
  </si>
  <si>
    <t xml:space="preserve">Constraints</t>
  </si>
  <si>
    <t xml:space="preserve">Open boundaries kept as quad edges</t>
  </si>
  <si>
    <t xml:space="preserve">Boundaries constrained in the field, but measured boundary coverage is low on some models: velvet sofa 1.6%, scans ~9%, bunny 49% (IM 0-16%)</t>
  </si>
  <si>
    <t xml:space="preserve">src/field.cpp, src/postprocess.cpp</t>
  </si>
  <si>
    <t xml:space="preserve">Add a boundary paragraph to write-up failure cases</t>
  </si>
  <si>
    <t xml:space="preserve">Deterministic for same input and parameters</t>
  </si>
  <si>
    <t xml:space="preserve">test_deterministic; Instant Meshes fallback single-threaded deterministic</t>
  </si>
  <si>
    <t xml:space="preserve">tests/test_python.py, src/im_driver.cpp</t>
  </si>
  <si>
    <t xml:space="preserve">Core in C++ (libigl / Eigen)</t>
  </si>
  <si>
    <t xml:space="preserve">C++17 core on Eigen + libigl</t>
  </si>
  <si>
    <t xml:space="preserve">src/</t>
  </si>
  <si>
    <t xml:space="preserve">Python bindings (pybind11)</t>
  </si>
  <si>
    <t xml:space="preserve">6 Python tests pass</t>
  </si>
  <si>
    <t xml:space="preserve">python/bindings.cpp, python/quadremesh/api.py</t>
  </si>
  <si>
    <t xml:space="preserve">Optional PyTorch learned field prediction</t>
  </si>
  <si>
    <t xml:space="preserve">Learned guide field, opt-in</t>
  </si>
  <si>
    <t xml:space="preserve">python/quadremesh/learned.py</t>
  </si>
  <si>
    <t xml:space="preserve">Runs headless on Linux</t>
  </si>
  <si>
    <t xml:space="preserve">All builds, tests and benchmarks run headless</t>
  </si>
  <si>
    <t xml:space="preserve">CMakeLists.txt</t>
  </si>
  <si>
    <t xml:space="preserve">Optional CUDA path for field optimization</t>
  </si>
  <si>
    <t xml:space="preserve">Code supports CUDA via PyTorch; only run on CPU</t>
  </si>
  <si>
    <t xml:space="preserve">python/quadremesh/torch_field.py</t>
  </si>
  <si>
    <t xml:space="preserve">Time GPU vs CPU on the GTX 1650 (CHECKPOINT open item 2)</t>
  </si>
  <si>
    <t xml:space="preserve">Deliverables</t>
  </si>
  <si>
    <t xml:space="preserve">1. CLI tool and Python API quadremesh(input, target_faces, feature_angle, ...)</t>
  </si>
  <si>
    <t xml:space="preserve">quadremesh CLI and Python quadremesh()</t>
  </si>
  <si>
    <t xml:space="preserve">apps/quadremesh_cli.cpp, python/quadremesh/api.py</t>
  </si>
  <si>
    <t xml:space="preserve">2. Evaluation script outputting all metrics</t>
  </si>
  <si>
    <t xml:space="preserve">quadeval / evaluate()</t>
  </si>
  <si>
    <t xml:space="preserve">apps/quadeval_cli.cpp, src/metrics.cpp</t>
  </si>
  <si>
    <t xml:space="preserve">3. Benchmark vs Instant Meshes, QuadriFlow, Blender on &gt;= 10 models incl. furniture or room scans</t>
  </si>
  <si>
    <t xml:space="preserve">15 models incl. 4 furniture and 2 room-scale scans; QuadriFlow 12/15 ok, Blender 8/15, ours 15/15</t>
  </si>
  <si>
    <t xml:space="preserve">benchmark/run_benchmark.py, benchmark/results/</t>
  </si>
  <si>
    <t xml:space="preserve">4. Visual report: field, singularity overlay, scaled-Jacobian heatmap</t>
  </si>
  <si>
    <t xml:space="preserve">All three panels per model, re-rendered 16 Oct; plus web walkthrough</t>
  </si>
  <si>
    <t xml:space="preserve">docs/report/, web/</t>
  </si>
  <si>
    <t xml:space="preserve">5. Write-up: design choices, failure cases, future work</t>
  </si>
  <si>
    <t xml:space="preserve">Sections 2, 6 and 7</t>
  </si>
  <si>
    <t xml:space="preserve">docs/technical_writeup.pdf</t>
  </si>
  <si>
    <t xml:space="preserve">Success criteria (benchmark mean, 15 models)</t>
  </si>
  <si>
    <t xml:space="preserve">Criterion</t>
  </si>
  <si>
    <t xml:space="preserve">Target</t>
  </si>
  <si>
    <t xml:space="preserve">Direction</t>
  </si>
  <si>
    <t xml:space="preserve">Result</t>
  </si>
  <si>
    <t xml:space="preserve">Pass?</t>
  </si>
  <si>
    <t xml:space="preserve">Instant Meshes</t>
  </si>
  <si>
    <t xml:space="preserve">Note</t>
  </si>
  <si>
    <t xml:space="preserve">Quads</t>
  </si>
  <si>
    <t xml:space="preserve">&gt;=</t>
  </si>
  <si>
    <t xml:space="preserve">Default setting; max coverage 99.4%</t>
  </si>
  <si>
    <t xml:space="preserve">Mean scaled Jacobian</t>
  </si>
  <si>
    <t xml:space="preserve">Lowest model 0.82</t>
  </si>
  <si>
    <t xml:space="preserve">Mean distance error (% of bbox diagonal)</t>
  </si>
  <si>
    <t xml:space="preserve">&lt;</t>
  </si>
  <si>
    <t xml:space="preserve">Values are percentages</t>
  </si>
  <si>
    <t xml:space="preserve">Feature coverage</t>
  </si>
  <si>
    <t xml:space="preserve">Max-coverage setting; 82.8% without the 2 room scans; &gt;= 90% on 5 models</t>
  </si>
  <si>
    <t xml:space="preserve">Models with fewer singularities than Instant Meshes</t>
  </si>
  <si>
    <t xml:space="preserve">-</t>
  </si>
  <si>
    <t xml:space="preserve">Out of 15 (majority = 8). Totals 3,276 vs 4,782; leather sofa IM made only 844 faces</t>
  </si>
  <si>
    <t xml:space="preserve">Blue = values from benchmark/results/summary.json (generated tables in README.md). Pass? is a formula.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</si>
</sst>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0"/>
    <numFmt numFmtId="16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>
          <bgColor rgb="FFD1FAE5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5" min="2" style="0" width="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  <c r="B3" s="2" t="s">
        <v>1</v>
      </c>
      <c r="C3" s="2" t="s">
        <v>2</v>
      </c>
      <c r="D3" s="2" t="s">
        <v>3</v>
      </c>
      <c r="E3" s="2" t="s">
        <v>4</v>
      </c>
    </row>
    <row r="4" customFormat="false" ht="15" hidden="false" customHeight="false" outlineLevel="0" collapsed="false">
      <c r="A4" s="3" t="s">
        <v>5</v>
      </c>
      <c r="B4" s="3" t="n">
        <f aca="false">COUNTIF(Requirements!D5:D33,"Met")</f>
        <v>25</v>
      </c>
      <c r="C4" s="3" t="n">
        <f aca="false">COUNTIF(Requirements!D5:D33,"Partial")</f>
        <v>4</v>
      </c>
      <c r="D4" s="3" t="n">
        <f aca="false">COUNTIF(Requirements!D5:D33,"Not met")</f>
        <v>0</v>
      </c>
      <c r="E4" s="3" t="n">
        <f aca="false">SUM(B4:D4)</f>
        <v>29</v>
      </c>
    </row>
    <row r="5" customFormat="false" ht="15" hidden="false" customHeight="false" outlineLevel="0" collapsed="false">
      <c r="A5" s="3" t="s">
        <v>6</v>
      </c>
      <c r="B5" s="3" t="n">
        <f aca="false">COUNTIF('Success criteria'!E4:E8,"Met")</f>
        <v>4</v>
      </c>
      <c r="C5" s="3" t="n">
        <f aca="false">COUNTIF('Success criteria'!E4:E8,"Partial")</f>
        <v>0</v>
      </c>
      <c r="D5" s="3" t="n">
        <f aca="false">COUNTIF('Success criteria'!E4:E8,"Not met")</f>
        <v>1</v>
      </c>
      <c r="E5" s="3" t="n">
        <f aca="false">SUM(B5:D5)</f>
        <v>5</v>
      </c>
    </row>
    <row r="7" customFormat="false" ht="15" hidden="false" customHeight="false" outlineLevel="0" collapsed="false">
      <c r="A7" s="2" t="s">
        <v>7</v>
      </c>
      <c r="B7" s="2"/>
      <c r="C7" s="2"/>
      <c r="D7" s="2"/>
      <c r="E7" s="2"/>
    </row>
    <row r="8" customFormat="false" ht="15" hidden="false" customHeight="false" outlineLevel="0" collapsed="false">
      <c r="A8" s="3" t="s">
        <v>8</v>
      </c>
    </row>
    <row r="9" customFormat="false" ht="15" hidden="false" customHeight="false" outlineLevel="0" collapsed="false">
      <c r="A9" s="3" t="s">
        <v>9</v>
      </c>
    </row>
    <row r="10" customFormat="false" ht="15" hidden="false" customHeight="false" outlineLevel="0" collapsed="false">
      <c r="A10" s="3" t="s">
        <v>10</v>
      </c>
    </row>
    <row r="11" customFormat="false" ht="15" hidden="false" customHeight="false" outlineLevel="0" collapsed="false">
      <c r="A11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46"/>
    <col collapsed="false" customWidth="true" hidden="false" outlineLevel="0" max="4" min="4" style="0" width="11"/>
    <col collapsed="false" customWidth="true" hidden="false" outlineLevel="0" max="5" min="5" style="0" width="58"/>
    <col collapsed="false" customWidth="true" hidden="false" outlineLevel="0" max="7" min="6" style="0" width="40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4" t="s">
        <v>13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customFormat="false" ht="26.85" hidden="false" customHeight="false" outlineLevel="0" collapsed="false">
      <c r="A5" s="5" t="n">
        <v>1</v>
      </c>
      <c r="B5" s="5" t="s">
        <v>21</v>
      </c>
      <c r="C5" s="5" t="s">
        <v>22</v>
      </c>
      <c r="D5" s="5" t="s">
        <v>1</v>
      </c>
      <c r="E5" s="5" t="s">
        <v>23</v>
      </c>
      <c r="F5" s="5" t="s">
        <v>24</v>
      </c>
      <c r="G5" s="5"/>
    </row>
    <row r="6" customFormat="false" ht="26.85" hidden="false" customHeight="false" outlineLevel="0" collapsed="false">
      <c r="A6" s="5" t="n">
        <v>2</v>
      </c>
      <c r="B6" s="5" t="s">
        <v>21</v>
      </c>
      <c r="C6" s="5" t="s">
        <v>25</v>
      </c>
      <c r="D6" s="5" t="s">
        <v>2</v>
      </c>
      <c r="E6" s="5" t="s">
        <v>26</v>
      </c>
      <c r="F6" s="5" t="s">
        <v>27</v>
      </c>
      <c r="G6" s="5" t="s">
        <v>28</v>
      </c>
    </row>
    <row r="7" customFormat="false" ht="26.85" hidden="false" customHeight="false" outlineLevel="0" collapsed="false">
      <c r="A7" s="5" t="n">
        <v>3</v>
      </c>
      <c r="B7" s="5" t="s">
        <v>21</v>
      </c>
      <c r="C7" s="5" t="s">
        <v>29</v>
      </c>
      <c r="D7" s="5" t="s">
        <v>1</v>
      </c>
      <c r="E7" s="5" t="s">
        <v>30</v>
      </c>
      <c r="F7" s="5" t="s">
        <v>31</v>
      </c>
      <c r="G7" s="5"/>
    </row>
    <row r="8" customFormat="false" ht="26.85" hidden="false" customHeight="false" outlineLevel="0" collapsed="false">
      <c r="A8" s="5" t="n">
        <v>4</v>
      </c>
      <c r="B8" s="5" t="s">
        <v>21</v>
      </c>
      <c r="C8" s="5" t="s">
        <v>32</v>
      </c>
      <c r="D8" s="5" t="s">
        <v>1</v>
      </c>
      <c r="E8" s="5" t="s">
        <v>33</v>
      </c>
      <c r="F8" s="5" t="s">
        <v>34</v>
      </c>
      <c r="G8" s="5" t="s">
        <v>35</v>
      </c>
    </row>
    <row r="9" customFormat="false" ht="26.85" hidden="false" customHeight="false" outlineLevel="0" collapsed="false">
      <c r="A9" s="5" t="n">
        <v>5</v>
      </c>
      <c r="B9" s="5" t="s">
        <v>21</v>
      </c>
      <c r="C9" s="5" t="s">
        <v>36</v>
      </c>
      <c r="D9" s="5" t="s">
        <v>1</v>
      </c>
      <c r="E9" s="5" t="s">
        <v>37</v>
      </c>
      <c r="F9" s="5" t="s">
        <v>38</v>
      </c>
      <c r="G9" s="5"/>
    </row>
    <row r="10" customFormat="false" ht="15" hidden="false" customHeight="false" outlineLevel="0" collapsed="false">
      <c r="A10" s="5" t="n">
        <v>6</v>
      </c>
      <c r="B10" s="5" t="s">
        <v>21</v>
      </c>
      <c r="C10" s="5" t="s">
        <v>39</v>
      </c>
      <c r="D10" s="5" t="s">
        <v>1</v>
      </c>
      <c r="E10" s="5" t="s">
        <v>40</v>
      </c>
      <c r="F10" s="5" t="s">
        <v>41</v>
      </c>
      <c r="G10" s="5"/>
    </row>
    <row r="11" customFormat="false" ht="15" hidden="false" customHeight="false" outlineLevel="0" collapsed="false">
      <c r="A11" s="5" t="n">
        <v>7</v>
      </c>
      <c r="B11" s="5" t="s">
        <v>42</v>
      </c>
      <c r="C11" s="5" t="s">
        <v>43</v>
      </c>
      <c r="D11" s="5" t="s">
        <v>1</v>
      </c>
      <c r="E11" s="5" t="s">
        <v>44</v>
      </c>
      <c r="F11" s="5" t="s">
        <v>45</v>
      </c>
      <c r="G11" s="5"/>
    </row>
    <row r="12" customFormat="false" ht="26.85" hidden="false" customHeight="false" outlineLevel="0" collapsed="false">
      <c r="A12" s="5" t="n">
        <v>8</v>
      </c>
      <c r="B12" s="5" t="s">
        <v>42</v>
      </c>
      <c r="C12" s="5" t="s">
        <v>46</v>
      </c>
      <c r="D12" s="5" t="s">
        <v>2</v>
      </c>
      <c r="E12" s="5" t="s">
        <v>47</v>
      </c>
      <c r="F12" s="5" t="s">
        <v>48</v>
      </c>
      <c r="G12" s="5" t="s">
        <v>49</v>
      </c>
    </row>
    <row r="13" customFormat="false" ht="26.85" hidden="false" customHeight="false" outlineLevel="0" collapsed="false">
      <c r="A13" s="5" t="n">
        <v>9</v>
      </c>
      <c r="B13" s="5" t="s">
        <v>42</v>
      </c>
      <c r="C13" s="5" t="s">
        <v>50</v>
      </c>
      <c r="D13" s="5" t="s">
        <v>1</v>
      </c>
      <c r="E13" s="5" t="s">
        <v>51</v>
      </c>
      <c r="F13" s="5" t="s">
        <v>52</v>
      </c>
      <c r="G13" s="5"/>
    </row>
    <row r="14" customFormat="false" ht="15" hidden="false" customHeight="false" outlineLevel="0" collapsed="false">
      <c r="A14" s="5" t="n">
        <v>10</v>
      </c>
      <c r="B14" s="5" t="s">
        <v>42</v>
      </c>
      <c r="C14" s="5" t="s">
        <v>53</v>
      </c>
      <c r="D14" s="5" t="s">
        <v>1</v>
      </c>
      <c r="E14" s="5" t="s">
        <v>54</v>
      </c>
      <c r="F14" s="5" t="s">
        <v>41</v>
      </c>
      <c r="G14" s="5"/>
    </row>
    <row r="15" customFormat="false" ht="15" hidden="false" customHeight="false" outlineLevel="0" collapsed="false">
      <c r="A15" s="5" t="n">
        <v>11</v>
      </c>
      <c r="B15" s="5" t="s">
        <v>42</v>
      </c>
      <c r="C15" s="5" t="s">
        <v>55</v>
      </c>
      <c r="D15" s="5" t="s">
        <v>1</v>
      </c>
      <c r="E15" s="5" t="s">
        <v>56</v>
      </c>
      <c r="F15" s="5" t="s">
        <v>41</v>
      </c>
      <c r="G15" s="5"/>
    </row>
    <row r="16" customFormat="false" ht="15" hidden="false" customHeight="false" outlineLevel="0" collapsed="false">
      <c r="A16" s="5" t="n">
        <v>12</v>
      </c>
      <c r="B16" s="5" t="s">
        <v>42</v>
      </c>
      <c r="C16" s="5" t="s">
        <v>57</v>
      </c>
      <c r="D16" s="5" t="s">
        <v>1</v>
      </c>
      <c r="E16" s="5" t="s">
        <v>58</v>
      </c>
      <c r="F16" s="5" t="s">
        <v>59</v>
      </c>
      <c r="G16" s="5"/>
    </row>
    <row r="17" customFormat="false" ht="15" hidden="false" customHeight="false" outlineLevel="0" collapsed="false">
      <c r="A17" s="5" t="n">
        <v>13</v>
      </c>
      <c r="B17" s="5" t="s">
        <v>42</v>
      </c>
      <c r="C17" s="5" t="s">
        <v>60</v>
      </c>
      <c r="D17" s="5" t="s">
        <v>1</v>
      </c>
      <c r="E17" s="5" t="s">
        <v>61</v>
      </c>
      <c r="F17" s="5" t="s">
        <v>62</v>
      </c>
      <c r="G17" s="5"/>
    </row>
    <row r="18" customFormat="false" ht="15" hidden="false" customHeight="false" outlineLevel="0" collapsed="false">
      <c r="A18" s="5" t="n">
        <v>14</v>
      </c>
      <c r="B18" s="5" t="s">
        <v>42</v>
      </c>
      <c r="C18" s="5" t="s">
        <v>63</v>
      </c>
      <c r="D18" s="5" t="s">
        <v>1</v>
      </c>
      <c r="E18" s="5" t="s">
        <v>64</v>
      </c>
      <c r="F18" s="5" t="s">
        <v>65</v>
      </c>
      <c r="G18" s="5"/>
    </row>
    <row r="19" customFormat="false" ht="15" hidden="false" customHeight="false" outlineLevel="0" collapsed="false">
      <c r="A19" s="5" t="n">
        <v>15</v>
      </c>
      <c r="B19" s="5" t="s">
        <v>66</v>
      </c>
      <c r="C19" s="5" t="s">
        <v>67</v>
      </c>
      <c r="D19" s="5" t="s">
        <v>1</v>
      </c>
      <c r="E19" s="5" t="s">
        <v>68</v>
      </c>
      <c r="F19" s="5" t="s">
        <v>69</v>
      </c>
      <c r="G19" s="5"/>
    </row>
    <row r="20" customFormat="false" ht="26.85" hidden="false" customHeight="false" outlineLevel="0" collapsed="false">
      <c r="A20" s="5" t="n">
        <v>16</v>
      </c>
      <c r="B20" s="5" t="s">
        <v>66</v>
      </c>
      <c r="C20" s="5" t="s">
        <v>70</v>
      </c>
      <c r="D20" s="5" t="s">
        <v>1</v>
      </c>
      <c r="E20" s="5" t="s">
        <v>71</v>
      </c>
      <c r="F20" s="5" t="s">
        <v>72</v>
      </c>
      <c r="G20" s="5"/>
    </row>
    <row r="21" customFormat="false" ht="15" hidden="false" customHeight="false" outlineLevel="0" collapsed="false">
      <c r="A21" s="5" t="n">
        <v>17</v>
      </c>
      <c r="B21" s="5" t="s">
        <v>66</v>
      </c>
      <c r="C21" s="5" t="s">
        <v>73</v>
      </c>
      <c r="D21" s="5" t="s">
        <v>1</v>
      </c>
      <c r="E21" s="5" t="s">
        <v>74</v>
      </c>
      <c r="F21" s="5" t="s">
        <v>75</v>
      </c>
      <c r="G21" s="5"/>
    </row>
    <row r="22" customFormat="false" ht="39.55" hidden="false" customHeight="false" outlineLevel="0" collapsed="false">
      <c r="A22" s="5" t="n">
        <v>18</v>
      </c>
      <c r="B22" s="5" t="s">
        <v>76</v>
      </c>
      <c r="C22" s="5" t="s">
        <v>77</v>
      </c>
      <c r="D22" s="5" t="s">
        <v>2</v>
      </c>
      <c r="E22" s="5" t="s">
        <v>78</v>
      </c>
      <c r="F22" s="5" t="s">
        <v>79</v>
      </c>
      <c r="G22" s="5" t="s">
        <v>80</v>
      </c>
    </row>
    <row r="23" customFormat="false" ht="26.85" hidden="false" customHeight="false" outlineLevel="0" collapsed="false">
      <c r="A23" s="5" t="n">
        <v>19</v>
      </c>
      <c r="B23" s="5" t="s">
        <v>76</v>
      </c>
      <c r="C23" s="5" t="s">
        <v>81</v>
      </c>
      <c r="D23" s="5" t="s">
        <v>1</v>
      </c>
      <c r="E23" s="5" t="s">
        <v>82</v>
      </c>
      <c r="F23" s="5" t="s">
        <v>83</v>
      </c>
      <c r="G23" s="5"/>
    </row>
    <row r="24" customFormat="false" ht="15" hidden="false" customHeight="false" outlineLevel="0" collapsed="false">
      <c r="A24" s="5" t="n">
        <v>20</v>
      </c>
      <c r="B24" s="5" t="s">
        <v>76</v>
      </c>
      <c r="C24" s="5" t="s">
        <v>84</v>
      </c>
      <c r="D24" s="5" t="s">
        <v>1</v>
      </c>
      <c r="E24" s="5" t="s">
        <v>85</v>
      </c>
      <c r="F24" s="5" t="s">
        <v>86</v>
      </c>
      <c r="G24" s="5"/>
    </row>
    <row r="25" customFormat="false" ht="26.85" hidden="false" customHeight="false" outlineLevel="0" collapsed="false">
      <c r="A25" s="5" t="n">
        <v>21</v>
      </c>
      <c r="B25" s="5" t="s">
        <v>76</v>
      </c>
      <c r="C25" s="5" t="s">
        <v>87</v>
      </c>
      <c r="D25" s="5" t="s">
        <v>1</v>
      </c>
      <c r="E25" s="5" t="s">
        <v>88</v>
      </c>
      <c r="F25" s="5" t="s">
        <v>89</v>
      </c>
      <c r="G25" s="5"/>
    </row>
    <row r="26" customFormat="false" ht="15" hidden="false" customHeight="false" outlineLevel="0" collapsed="false">
      <c r="A26" s="5" t="n">
        <v>22</v>
      </c>
      <c r="B26" s="5" t="s">
        <v>76</v>
      </c>
      <c r="C26" s="5" t="s">
        <v>90</v>
      </c>
      <c r="D26" s="5" t="s">
        <v>1</v>
      </c>
      <c r="E26" s="5" t="s">
        <v>91</v>
      </c>
      <c r="F26" s="5" t="s">
        <v>92</v>
      </c>
      <c r="G26" s="5"/>
    </row>
    <row r="27" customFormat="false" ht="15" hidden="false" customHeight="false" outlineLevel="0" collapsed="false">
      <c r="A27" s="5" t="n">
        <v>23</v>
      </c>
      <c r="B27" s="5" t="s">
        <v>76</v>
      </c>
      <c r="C27" s="5" t="s">
        <v>93</v>
      </c>
      <c r="D27" s="5" t="s">
        <v>1</v>
      </c>
      <c r="E27" s="5" t="s">
        <v>94</v>
      </c>
      <c r="F27" s="5" t="s">
        <v>95</v>
      </c>
      <c r="G27" s="5"/>
    </row>
    <row r="28" customFormat="false" ht="26.85" hidden="false" customHeight="false" outlineLevel="0" collapsed="false">
      <c r="A28" s="5" t="n">
        <v>24</v>
      </c>
      <c r="B28" s="5" t="s">
        <v>76</v>
      </c>
      <c r="C28" s="5" t="s">
        <v>96</v>
      </c>
      <c r="D28" s="5" t="s">
        <v>2</v>
      </c>
      <c r="E28" s="5" t="s">
        <v>97</v>
      </c>
      <c r="F28" s="5" t="s">
        <v>98</v>
      </c>
      <c r="G28" s="5" t="s">
        <v>99</v>
      </c>
    </row>
    <row r="29" customFormat="false" ht="26.85" hidden="false" customHeight="false" outlineLevel="0" collapsed="false">
      <c r="A29" s="5" t="n">
        <v>25</v>
      </c>
      <c r="B29" s="5" t="s">
        <v>100</v>
      </c>
      <c r="C29" s="5" t="s">
        <v>101</v>
      </c>
      <c r="D29" s="5" t="s">
        <v>1</v>
      </c>
      <c r="E29" s="5" t="s">
        <v>102</v>
      </c>
      <c r="F29" s="5" t="s">
        <v>103</v>
      </c>
      <c r="G29" s="5"/>
    </row>
    <row r="30" customFormat="false" ht="15" hidden="false" customHeight="false" outlineLevel="0" collapsed="false">
      <c r="A30" s="5" t="n">
        <v>26</v>
      </c>
      <c r="B30" s="5" t="s">
        <v>100</v>
      </c>
      <c r="C30" s="5" t="s">
        <v>104</v>
      </c>
      <c r="D30" s="5" t="s">
        <v>1</v>
      </c>
      <c r="E30" s="5" t="s">
        <v>105</v>
      </c>
      <c r="F30" s="5" t="s">
        <v>106</v>
      </c>
      <c r="G30" s="5"/>
    </row>
    <row r="31" customFormat="false" ht="39.55" hidden="false" customHeight="false" outlineLevel="0" collapsed="false">
      <c r="A31" s="5" t="n">
        <v>27</v>
      </c>
      <c r="B31" s="5" t="s">
        <v>100</v>
      </c>
      <c r="C31" s="5" t="s">
        <v>107</v>
      </c>
      <c r="D31" s="5" t="s">
        <v>1</v>
      </c>
      <c r="E31" s="5" t="s">
        <v>108</v>
      </c>
      <c r="F31" s="5" t="s">
        <v>109</v>
      </c>
      <c r="G31" s="5"/>
    </row>
    <row r="32" customFormat="false" ht="26.85" hidden="false" customHeight="false" outlineLevel="0" collapsed="false">
      <c r="A32" s="5" t="n">
        <v>28</v>
      </c>
      <c r="B32" s="5" t="s">
        <v>100</v>
      </c>
      <c r="C32" s="5" t="s">
        <v>110</v>
      </c>
      <c r="D32" s="5" t="s">
        <v>1</v>
      </c>
      <c r="E32" s="5" t="s">
        <v>111</v>
      </c>
      <c r="F32" s="5" t="s">
        <v>112</v>
      </c>
      <c r="G32" s="5"/>
    </row>
    <row r="33" customFormat="false" ht="26.85" hidden="false" customHeight="false" outlineLevel="0" collapsed="false">
      <c r="A33" s="5" t="n">
        <v>29</v>
      </c>
      <c r="B33" s="5" t="s">
        <v>100</v>
      </c>
      <c r="C33" s="5" t="s">
        <v>113</v>
      </c>
      <c r="D33" s="5" t="s">
        <v>1</v>
      </c>
      <c r="E33" s="5" t="s">
        <v>114</v>
      </c>
      <c r="F33" s="5" t="s">
        <v>115</v>
      </c>
      <c r="G33" s="5"/>
    </row>
  </sheetData>
  <autoFilter ref="A4:G33"/>
  <conditionalFormatting sqref="D5:D33">
    <cfRule type="cellIs" priority="2" operator="equal" aboveAverage="0" equalAverage="0" bottom="0" percent="0" rank="0" text="" dxfId="5">
      <formula>"Met"</formula>
    </cfRule>
    <cfRule type="cellIs" priority="3" operator="equal" aboveAverage="0" equalAverage="0" bottom="0" percent="0" rank="0" text="" dxfId="6">
      <formula>"Partial"</formula>
    </cfRule>
    <cfRule type="cellIs" priority="4" operator="equal" aboveAverage="0" equalAverage="0" bottom="0" percent="0" rank="0" text="" dxfId="7">
      <formula>"Not met"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0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116</v>
      </c>
    </row>
    <row r="3" customFormat="false" ht="26.85" hidden="false" customHeight="false" outlineLevel="0" collapsed="false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</row>
    <row r="4" customFormat="false" ht="15" hidden="false" customHeight="false" outlineLevel="0" collapsed="false">
      <c r="A4" s="6" t="s">
        <v>124</v>
      </c>
      <c r="B4" s="7" t="n">
        <v>0.98</v>
      </c>
      <c r="C4" s="6" t="s">
        <v>125</v>
      </c>
      <c r="D4" s="7" t="n">
        <v>1</v>
      </c>
      <c r="E4" s="6" t="str">
        <f aca="false">IF(C4="&gt;=",IF(D4&gt;=B4,"Met","Not met"),IF(D4&lt;B4,"Met","Not met"))</f>
        <v>Met</v>
      </c>
      <c r="F4" s="7" t="n">
        <v>1</v>
      </c>
      <c r="G4" s="6" t="s">
        <v>126</v>
      </c>
    </row>
    <row r="5" customFormat="false" ht="15" hidden="false" customHeight="false" outlineLevel="0" collapsed="false">
      <c r="A5" s="6" t="s">
        <v>127</v>
      </c>
      <c r="B5" s="8" t="n">
        <v>0.8</v>
      </c>
      <c r="C5" s="6" t="s">
        <v>125</v>
      </c>
      <c r="D5" s="8" t="n">
        <v>0.903</v>
      </c>
      <c r="E5" s="6" t="str">
        <f aca="false">IF(C5="&gt;=",IF(D5&gt;=B5,"Met","Not met"),IF(D5&lt;B5,"Met","Not met"))</f>
        <v>Met</v>
      </c>
      <c r="F5" s="8" t="n">
        <v>0.935</v>
      </c>
      <c r="G5" s="6" t="s">
        <v>128</v>
      </c>
    </row>
    <row r="6" customFormat="false" ht="15" hidden="false" customHeight="false" outlineLevel="0" collapsed="false">
      <c r="A6" s="6" t="s">
        <v>129</v>
      </c>
      <c r="B6" s="8" t="n">
        <v>0.5</v>
      </c>
      <c r="C6" s="6" t="s">
        <v>130</v>
      </c>
      <c r="D6" s="8" t="n">
        <v>0.086</v>
      </c>
      <c r="E6" s="6" t="str">
        <f aca="false">IF(C6="&gt;=",IF(D6&gt;=B6,"Met","Not met"),IF(D6&lt;B6,"Met","Not met"))</f>
        <v>Met</v>
      </c>
      <c r="F6" s="8" t="n">
        <v>0.316</v>
      </c>
      <c r="G6" s="6" t="s">
        <v>131</v>
      </c>
    </row>
    <row r="7" customFormat="false" ht="26.85" hidden="false" customHeight="false" outlineLevel="0" collapsed="false">
      <c r="A7" s="6" t="s">
        <v>132</v>
      </c>
      <c r="B7" s="7" t="n">
        <v>0.9</v>
      </c>
      <c r="C7" s="6" t="s">
        <v>125</v>
      </c>
      <c r="D7" s="7" t="n">
        <v>0.731</v>
      </c>
      <c r="E7" s="6" t="str">
        <f aca="false">IF(C7="&gt;=",IF(D7&gt;=B7,"Met","Not met"),IF(D7&lt;B7,"Met","Not met"))</f>
        <v>Not met</v>
      </c>
      <c r="F7" s="7" t="n">
        <v>0.221</v>
      </c>
      <c r="G7" s="6" t="s">
        <v>133</v>
      </c>
    </row>
    <row r="8" customFormat="false" ht="26.85" hidden="false" customHeight="false" outlineLevel="0" collapsed="false">
      <c r="A8" s="6" t="s">
        <v>134</v>
      </c>
      <c r="B8" s="9" t="n">
        <v>8</v>
      </c>
      <c r="C8" s="6" t="s">
        <v>125</v>
      </c>
      <c r="D8" s="9" t="n">
        <v>14</v>
      </c>
      <c r="E8" s="6" t="str">
        <f aca="false">IF(C8="&gt;=",IF(D8&gt;=B8,"Met","Not met"),IF(D8&lt;B8,"Met","Not met"))</f>
        <v>Met</v>
      </c>
      <c r="F8" s="9" t="s">
        <v>135</v>
      </c>
      <c r="G8" s="6" t="s">
        <v>136</v>
      </c>
    </row>
    <row r="10" customFormat="false" ht="15" hidden="false" customHeight="false" outlineLevel="0" collapsed="false">
      <c r="A10" s="4" t="s">
        <v>137</v>
      </c>
    </row>
  </sheetData>
  <conditionalFormatting sqref="E4:E8">
    <cfRule type="cellIs" priority="2" operator="equal" aboveAverage="0" equalAverage="0" bottom="0" percent="0" rank="0" text="" dxfId="5">
      <formula>"Met"</formula>
    </cfRule>
    <cfRule type="cellIs" priority="3" operator="equal" aboveAverage="0" equalAverage="0" bottom="0" percent="0" rank="0" text="" dxfId="6">
      <formula>"Partial"</formula>
    </cfRule>
    <cfRule type="cellIs" priority="4" operator="equal" aboveAverage="0" equalAverage="0" bottom="0" percent="0" rank="0" text="" dxfId="7">
      <formula>"Not met"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2026-10-16T04:22:07Z</dcterms:created>
  <dc:creator>openpyxl</dc:creator>
  <dc:description/>
  <dc:language>en-US</dc:language>
  <cp:lastModifiedBy/>
  <dcterms:modified xsi:type="dcterms:W3CDTF">2026-10-16T04:22:07Z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